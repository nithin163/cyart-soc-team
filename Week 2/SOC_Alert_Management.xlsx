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ert Classification" sheetId="1" state="visible" r:id="rId1"/>
    <sheet xmlns:r="http://schemas.openxmlformats.org/officeDocument/2006/relationships" name="CVSS Scoring" sheetId="2" state="visible" r:id="rId2"/>
    <sheet xmlns:r="http://schemas.openxmlformats.org/officeDocument/2006/relationships" name="Alert Triage Log" sheetId="3" state="visible" r:id="rId3"/>
    <sheet xmlns:r="http://schemas.openxmlformats.org/officeDocument/2006/relationships" name="Evidence Log" sheetId="4" state="visible" r:id="rId4"/>
    <sheet xmlns:r="http://schemas.openxmlformats.org/officeDocument/2006/relationships" name="Incident Summary" sheetId="5" state="visible" r:id="rId5"/>
    <sheet xmlns:r="http://schemas.openxmlformats.org/officeDocument/2006/relationships" name="Phishing Checklist"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FFFFFF"/>
      <sz val="14"/>
    </font>
    <font>
      <name val="Arial"/>
      <b val="1"/>
      <color rgb="00FFFFFF"/>
      <sz val="11"/>
    </font>
    <font>
      <name val="Arial"/>
      <b val="1"/>
      <sz val="10"/>
    </font>
    <font>
      <name val="Arial"/>
      <sz val="10"/>
    </font>
    <font>
      <name val="Arial"/>
      <b val="1"/>
      <color rgb="00FFFFFF"/>
      <sz val="10"/>
    </font>
    <font>
      <name val="Arial"/>
      <color rgb="002255AA"/>
      <sz val="10"/>
    </font>
    <font>
      <name val="Arial"/>
      <color rgb="00375623"/>
      <sz val="10"/>
    </font>
  </fonts>
  <fills count="12">
    <fill>
      <patternFill/>
    </fill>
    <fill>
      <patternFill patternType="gray125"/>
    </fill>
    <fill>
      <patternFill patternType="solid">
        <fgColor rgb="000D1B2A"/>
      </patternFill>
    </fill>
    <fill>
      <patternFill patternType="solid">
        <fgColor rgb="001F3864"/>
      </patternFill>
    </fill>
    <fill>
      <patternFill patternType="solid">
        <fgColor rgb="00FFFFFF"/>
      </patternFill>
    </fill>
    <fill>
      <patternFill patternType="solid">
        <fgColor rgb="00FF4444"/>
      </patternFill>
    </fill>
    <fill>
      <patternFill patternType="solid">
        <fgColor rgb="00D9E1F2"/>
      </patternFill>
    </fill>
    <fill>
      <patternFill patternType="solid">
        <fgColor rgb="00FF9900"/>
      </patternFill>
    </fill>
    <fill>
      <patternFill patternType="solid">
        <fgColor rgb="00C00000"/>
      </patternFill>
    </fill>
    <fill>
      <patternFill patternType="solid">
        <fgColor rgb="0070AD47"/>
      </patternFill>
    </fill>
    <fill>
      <patternFill patternType="solid">
        <fgColor rgb="002E4057"/>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6"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0" borderId="1" applyAlignment="1" pivotButton="0" quotePrefix="0" xfId="0">
      <alignment horizontal="center" vertical="center" wrapText="1"/>
    </xf>
    <xf numFmtId="0" fontId="2" fillId="10" borderId="1" applyAlignment="1" pivotButton="0" quotePrefix="0" xfId="0">
      <alignment horizontal="center" vertical="center" wrapText="1"/>
    </xf>
    <xf numFmtId="0" fontId="0" fillId="4" borderId="0" pivotButton="0" quotePrefix="0" xfId="0"/>
    <xf numFmtId="164" fontId="4" fillId="0" borderId="1" applyAlignment="1" pivotButton="0" quotePrefix="0" xfId="0">
      <alignment horizontal="center" vertical="center" wrapText="1"/>
    </xf>
    <xf numFmtId="164" fontId="2"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4"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2" customWidth="1" min="1" max="1"/>
    <col width="20" customWidth="1" min="2" max="2"/>
    <col width="42" customWidth="1" min="3" max="3"/>
    <col width="12" customWidth="1" min="4" max="4"/>
    <col width="18" customWidth="1" min="5" max="5"/>
    <col width="12" customWidth="1" min="6" max="6"/>
  </cols>
  <sheetData>
    <row r="1" ht="36" customHeight="1">
      <c r="A1" s="1" t="inlineStr">
        <is>
          <t>🛡️  SOC Alert Classification System — MITRE ATT&amp;CK Mapping</t>
        </is>
      </c>
    </row>
    <row r="2" ht="30" customHeight="1">
      <c r="A2" s="2" t="inlineStr">
        <is>
          <t>Alert ID</t>
        </is>
      </c>
      <c r="B2" s="2" t="inlineStr">
        <is>
          <t>Alert Type</t>
        </is>
      </c>
      <c r="C2" s="2" t="inlineStr">
        <is>
          <t>Description</t>
        </is>
      </c>
      <c r="D2" s="2" t="inlineStr">
        <is>
          <t>Priority</t>
        </is>
      </c>
      <c r="E2" s="2" t="inlineStr">
        <is>
          <t>MITRE Technique</t>
        </is>
      </c>
      <c r="F2" s="2" t="inlineStr">
        <is>
          <t>CVSS Score</t>
        </is>
      </c>
    </row>
    <row r="3">
      <c r="A3" s="3" t="inlineStr">
        <is>
          <t>001</t>
        </is>
      </c>
      <c r="B3" s="4" t="inlineStr">
        <is>
          <t>Phishing</t>
        </is>
      </c>
      <c r="C3" s="4" t="inlineStr">
        <is>
          <t>Suspicious link in email</t>
        </is>
      </c>
      <c r="D3" s="5" t="inlineStr">
        <is>
          <t>High</t>
        </is>
      </c>
      <c r="E3" s="6" t="inlineStr">
        <is>
          <t>T1566</t>
        </is>
      </c>
      <c r="F3" s="7" t="n">
        <v>7.8</v>
      </c>
    </row>
    <row r="4">
      <c r="A4" s="8" t="inlineStr">
        <is>
          <t>002</t>
        </is>
      </c>
      <c r="B4" s="9" t="inlineStr">
        <is>
          <t>Brute Force</t>
        </is>
      </c>
      <c r="C4" s="9" t="inlineStr">
        <is>
          <t>Multiple SSH login attempts</t>
        </is>
      </c>
      <c r="D4" s="10" t="inlineStr">
        <is>
          <t>Medium</t>
        </is>
      </c>
      <c r="E4" s="11" t="inlineStr">
        <is>
          <t>T1110</t>
        </is>
      </c>
      <c r="F4" s="12" t="n">
        <v>6.5</v>
      </c>
    </row>
    <row r="5">
      <c r="A5" s="3" t="inlineStr">
        <is>
          <t>003</t>
        </is>
      </c>
      <c r="B5" s="4" t="inlineStr">
        <is>
          <t>Ransomware</t>
        </is>
      </c>
      <c r="C5" s="4" t="inlineStr">
        <is>
          <t>Suspicious encryption process detected</t>
        </is>
      </c>
      <c r="D5" s="13" t="inlineStr">
        <is>
          <t>Critical</t>
        </is>
      </c>
      <c r="E5" s="6" t="inlineStr">
        <is>
          <t>T1486</t>
        </is>
      </c>
      <c r="F5" s="7" t="n">
        <v>9.800000000000001</v>
      </c>
    </row>
    <row r="6">
      <c r="A6" s="8" t="inlineStr">
        <is>
          <t>004</t>
        </is>
      </c>
      <c r="B6" s="9" t="inlineStr">
        <is>
          <t>Port Scan</t>
        </is>
      </c>
      <c r="C6" s="9" t="inlineStr">
        <is>
          <t>Multiple ports scanned on network</t>
        </is>
      </c>
      <c r="D6" s="14" t="inlineStr">
        <is>
          <t>Low</t>
        </is>
      </c>
      <c r="E6" s="11" t="inlineStr">
        <is>
          <t>T1046</t>
        </is>
      </c>
      <c r="F6" s="12" t="n">
        <v>3.7</v>
      </c>
    </row>
    <row r="7">
      <c r="A7" s="3" t="inlineStr">
        <is>
          <t>005</t>
        </is>
      </c>
      <c r="B7" s="4" t="inlineStr">
        <is>
          <t>Log4Shell Exploit</t>
        </is>
      </c>
      <c r="C7" s="4" t="inlineStr">
        <is>
          <t>Suspicious JNDI request observed</t>
        </is>
      </c>
      <c r="D7" s="13" t="inlineStr">
        <is>
          <t>Critical</t>
        </is>
      </c>
      <c r="E7" s="6" t="inlineStr">
        <is>
          <t>T1190</t>
        </is>
      </c>
      <c r="F7" s="7" t="n">
        <v>9.800000000000001</v>
      </c>
    </row>
    <row r="8">
      <c r="A8" s="8" t="inlineStr">
        <is>
          <t>006</t>
        </is>
      </c>
      <c r="B8" s="9" t="inlineStr">
        <is>
          <t>Port Scan</t>
        </is>
      </c>
      <c r="C8" s="9" t="inlineStr">
        <is>
          <t>Nmap scan detected on subnet</t>
        </is>
      </c>
      <c r="D8" s="14" t="inlineStr">
        <is>
          <t>Low</t>
        </is>
      </c>
      <c r="E8" s="11" t="inlineStr">
        <is>
          <t>T1046</t>
        </is>
      </c>
      <c r="F8" s="12" t="n">
        <v>3.7</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8" customWidth="1" min="1" max="1"/>
    <col width="18" customWidth="1" min="2" max="2"/>
    <col width="22" customWidth="1" min="3" max="3"/>
    <col width="18" customWidth="1" min="4" max="4"/>
  </cols>
  <sheetData>
    <row r="1" ht="36" customHeight="1">
      <c r="A1" s="1" t="inlineStr">
        <is>
          <t>⚠️  CVSS Score → Priority Mapping</t>
        </is>
      </c>
    </row>
    <row r="2" ht="30" customHeight="1">
      <c r="A2" s="2" t="inlineStr">
        <is>
          <t>Alert</t>
        </is>
      </c>
      <c r="B2" s="2" t="inlineStr">
        <is>
          <t>CVSS Score</t>
        </is>
      </c>
      <c r="C2" s="2" t="inlineStr">
        <is>
          <t>Calculated Priority</t>
        </is>
      </c>
      <c r="D2" s="2" t="inlineStr">
        <is>
          <t>MITRE Technique</t>
        </is>
      </c>
    </row>
    <row r="3">
      <c r="A3" s="4" t="inlineStr">
        <is>
          <t>Log4Shell Exploit</t>
        </is>
      </c>
      <c r="B3" s="7" t="n">
        <v>9.800000000000001</v>
      </c>
      <c r="C3" s="15">
        <f>IF(B3&gt;=9,"Critical",IF(B3&gt;=7,"High",IF(B3&gt;=4,"Medium","Low")))</f>
        <v/>
      </c>
      <c r="D3" s="6" t="inlineStr">
        <is>
          <t>T1190</t>
        </is>
      </c>
    </row>
    <row r="4">
      <c r="A4" s="9" t="inlineStr">
        <is>
          <t>Ransomware</t>
        </is>
      </c>
      <c r="B4" s="12" t="n">
        <v>9.800000000000001</v>
      </c>
      <c r="C4" s="15">
        <f>IF(B4&gt;=9,"Critical",IF(B4&gt;=7,"High",IF(B4&gt;=4,"Medium","Low")))</f>
        <v/>
      </c>
      <c r="D4" s="11" t="inlineStr">
        <is>
          <t>T1486</t>
        </is>
      </c>
    </row>
    <row r="5">
      <c r="A5" s="4" t="inlineStr">
        <is>
          <t>Phishing</t>
        </is>
      </c>
      <c r="B5" s="7" t="n">
        <v>7.8</v>
      </c>
      <c r="C5" s="15">
        <f>IF(B5&gt;=9,"Critical",IF(B5&gt;=7,"High",IF(B5&gt;=4,"Medium","Low")))</f>
        <v/>
      </c>
      <c r="D5" s="6" t="inlineStr">
        <is>
          <t>T1566</t>
        </is>
      </c>
    </row>
    <row r="6">
      <c r="A6" s="9" t="inlineStr">
        <is>
          <t>SSH Brute Force</t>
        </is>
      </c>
      <c r="B6" s="12" t="n">
        <v>6.5</v>
      </c>
      <c r="C6" s="15">
        <f>IF(B6&gt;=9,"Critical",IF(B6&gt;=7,"High",IF(B6&gt;=4,"Medium","Low")))</f>
        <v/>
      </c>
      <c r="D6" s="11" t="inlineStr">
        <is>
          <t>T1110</t>
        </is>
      </c>
    </row>
    <row r="7">
      <c r="A7" s="4" t="inlineStr">
        <is>
          <t>Port Scan</t>
        </is>
      </c>
      <c r="B7" s="7" t="n">
        <v>3.7</v>
      </c>
      <c r="C7" s="15">
        <f>IF(B7&gt;=9,"Critical",IF(B7&gt;=7,"High",IF(B7&gt;=4,"Medium","Low")))</f>
        <v/>
      </c>
      <c r="D7" s="6" t="inlineStr">
        <is>
          <t>T1046</t>
        </is>
      </c>
    </row>
    <row r="9" ht="30" customHeight="1">
      <c r="A9" s="16" t="inlineStr">
        <is>
          <t>CVSS Range</t>
        </is>
      </c>
      <c r="B9" s="16" t="inlineStr">
        <is>
          <t>Priority Level</t>
        </is>
      </c>
      <c r="C9" s="16" t="inlineStr"/>
      <c r="D9" s="16" t="inlineStr"/>
    </row>
    <row r="10">
      <c r="A10" s="7" t="inlineStr">
        <is>
          <t>9.0 – 10.0</t>
        </is>
      </c>
      <c r="B10" s="13" t="inlineStr">
        <is>
          <t>Critical</t>
        </is>
      </c>
      <c r="C10" s="17" t="n"/>
      <c r="D10" s="17" t="n"/>
    </row>
    <row r="11">
      <c r="A11" s="7" t="inlineStr">
        <is>
          <t>7.0 – 8.9</t>
        </is>
      </c>
      <c r="B11" s="5" t="inlineStr">
        <is>
          <t>High</t>
        </is>
      </c>
      <c r="C11" s="17" t="n"/>
      <c r="D11" s="17" t="n"/>
    </row>
    <row r="12">
      <c r="A12" s="7" t="inlineStr">
        <is>
          <t>4.0 – 6.9</t>
        </is>
      </c>
      <c r="B12" s="10" t="inlineStr">
        <is>
          <t>Medium</t>
        </is>
      </c>
      <c r="C12" s="17" t="n"/>
      <c r="D12" s="17" t="n"/>
    </row>
    <row r="13">
      <c r="A13" s="7" t="inlineStr">
        <is>
          <t>0.0 – 3.9</t>
        </is>
      </c>
      <c r="B13" s="14" t="inlineStr">
        <is>
          <t>Low</t>
        </is>
      </c>
      <c r="C13" s="17" t="n"/>
      <c r="D13" s="17" t="n"/>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30" customWidth="1" min="2" max="2"/>
    <col width="18" customWidth="1" min="3" max="3"/>
    <col width="12" customWidth="1" min="4" max="4"/>
    <col width="14" customWidth="1" min="5" max="5"/>
    <col width="28" customWidth="1" min="6" max="6"/>
    <col width="28" customWidth="1" min="7" max="7"/>
  </cols>
  <sheetData>
    <row r="1" ht="36" customHeight="1">
      <c r="A1" s="1" t="inlineStr">
        <is>
          <t>🔍  Alert Triage Log — SSH Brute Force Simulation</t>
        </is>
      </c>
    </row>
    <row r="2" ht="30" customHeight="1">
      <c r="A2" s="2" t="inlineStr">
        <is>
          <t>Alert ID</t>
        </is>
      </c>
      <c r="B2" s="2" t="inlineStr">
        <is>
          <t>Description</t>
        </is>
      </c>
      <c r="C2" s="2" t="inlineStr">
        <is>
          <t>Source IP</t>
        </is>
      </c>
      <c r="D2" s="2" t="inlineStr">
        <is>
          <t>Priority</t>
        </is>
      </c>
      <c r="E2" s="2" t="inlineStr">
        <is>
          <t>Status</t>
        </is>
      </c>
      <c r="F2" s="2" t="inlineStr">
        <is>
          <t>IOC Validated</t>
        </is>
      </c>
      <c r="G2" s="2" t="inlineStr">
        <is>
          <t>Action Taken</t>
        </is>
      </c>
    </row>
    <row r="3">
      <c r="A3" s="7" t="inlineStr">
        <is>
          <t>002</t>
        </is>
      </c>
      <c r="B3" s="4" t="inlineStr">
        <is>
          <t>Brute Force SSH Attack</t>
        </is>
      </c>
      <c r="C3" s="7" t="inlineStr">
        <is>
          <t>192.168.1.100</t>
        </is>
      </c>
      <c r="D3" s="10" t="inlineStr">
        <is>
          <t>Medium</t>
        </is>
      </c>
      <c r="E3" s="7" t="inlineStr">
        <is>
          <t>Open</t>
        </is>
      </c>
      <c r="F3" s="4" t="inlineStr">
        <is>
          <t>Yes — VirusTotal/OTX</t>
        </is>
      </c>
      <c r="G3" s="4" t="inlineStr">
        <is>
          <t>Pending firewall block</t>
        </is>
      </c>
    </row>
    <row r="4">
      <c r="A4" s="12" t="inlineStr">
        <is>
          <t>005</t>
        </is>
      </c>
      <c r="B4" s="9" t="inlineStr">
        <is>
          <t>Log4Shell JNDI Request</t>
        </is>
      </c>
      <c r="C4" s="12" t="inlineStr">
        <is>
          <t>192.168.1.105</t>
        </is>
      </c>
      <c r="D4" s="13" t="inlineStr">
        <is>
          <t>Critical</t>
        </is>
      </c>
      <c r="E4" s="12" t="inlineStr">
        <is>
          <t>Escalated</t>
        </is>
      </c>
      <c r="F4" s="9" t="inlineStr">
        <is>
          <t>Yes — AlienVault OTX</t>
        </is>
      </c>
      <c r="G4" s="9" t="inlineStr">
        <is>
          <t>Isolated endpoint</t>
        </is>
      </c>
    </row>
    <row r="5">
      <c r="A5" s="7" t="inlineStr">
        <is>
          <t>003</t>
        </is>
      </c>
      <c r="B5" s="4" t="inlineStr">
        <is>
          <t>Ransomware Process</t>
        </is>
      </c>
      <c r="C5" s="7" t="inlineStr">
        <is>
          <t>192.168.1.50</t>
        </is>
      </c>
      <c r="D5" s="13" t="inlineStr">
        <is>
          <t>Critical</t>
        </is>
      </c>
      <c r="E5" s="7" t="inlineStr">
        <is>
          <t>Closed</t>
        </is>
      </c>
      <c r="F5" s="4" t="inlineStr">
        <is>
          <t>Yes — Hash verified</t>
        </is>
      </c>
      <c r="G5" s="4" t="inlineStr">
        <is>
          <t>Endpoint quarantined</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8" customWidth="1" min="1" max="1"/>
    <col width="46" customWidth="1" min="2" max="2"/>
    <col width="16" customWidth="1" min="3" max="3"/>
    <col width="14" customWidth="1" min="4" max="4"/>
    <col width="18" customWidth="1" min="5" max="5"/>
    <col width="36" customWidth="1" min="6" max="6"/>
  </cols>
  <sheetData>
    <row r="1" ht="36" customHeight="1">
      <c r="A1" s="1" t="inlineStr">
        <is>
          <t>🔒  Evidence Preservation Log</t>
        </is>
      </c>
    </row>
    <row r="2" ht="30" customHeight="1">
      <c r="A2" s="2" t="inlineStr">
        <is>
          <t>Item</t>
        </is>
      </c>
      <c r="B2" s="2" t="inlineStr">
        <is>
          <t>Description</t>
        </is>
      </c>
      <c r="C2" s="2" t="inlineStr">
        <is>
          <t>Collected By</t>
        </is>
      </c>
      <c r="D2" s="2" t="inlineStr">
        <is>
          <t>Date</t>
        </is>
      </c>
      <c r="E2" s="2" t="inlineStr">
        <is>
          <t>Tool Used</t>
        </is>
      </c>
      <c r="F2" s="2" t="inlineStr">
        <is>
          <t>SHA-256 Hash</t>
        </is>
      </c>
    </row>
    <row r="3">
      <c r="A3" s="4" t="inlineStr">
        <is>
          <t>Memory Dump</t>
        </is>
      </c>
      <c r="B3" s="4" t="inlineStr">
        <is>
          <t>Server-X RAM acquisition (memorydump.raw)</t>
        </is>
      </c>
      <c r="C3" s="4" t="inlineStr">
        <is>
          <t>SOC Analyst</t>
        </is>
      </c>
      <c r="D3" s="4" t="inlineStr">
        <is>
          <t>2025-08-18</t>
        </is>
      </c>
      <c r="E3" s="4" t="inlineStr">
        <is>
          <t>Velociraptor</t>
        </is>
      </c>
      <c r="F3" s="4" t="inlineStr">
        <is>
          <t>a91c7bd4c91a24b1d6ef7c...</t>
        </is>
      </c>
    </row>
    <row r="4">
      <c r="A4" s="9" t="inlineStr">
        <is>
          <t>Network Log</t>
        </is>
      </c>
      <c r="B4" s="9" t="inlineStr">
        <is>
          <t>Netstat connections export (netstat.csv)</t>
        </is>
      </c>
      <c r="C4" s="9" t="inlineStr">
        <is>
          <t>SOC Analyst</t>
        </is>
      </c>
      <c r="D4" s="9" t="inlineStr">
        <is>
          <t>2025-08-18</t>
        </is>
      </c>
      <c r="E4" s="9" t="inlineStr">
        <is>
          <t>Velociraptor</t>
        </is>
      </c>
      <c r="F4" s="9" t="inlineStr">
        <is>
          <t>d83f2a19c04b71e3f2bb5c...</t>
        </is>
      </c>
    </row>
    <row r="5">
      <c r="A5" s="4" t="inlineStr">
        <is>
          <t>FTP Exploit Log</t>
        </is>
      </c>
      <c r="B5" s="4" t="inlineStr">
        <is>
          <t>VSFTPD backdoor attempt — Wazuh alert export</t>
        </is>
      </c>
      <c r="C5" s="4" t="inlineStr">
        <is>
          <t>SOC Analyst</t>
        </is>
      </c>
      <c r="D5" s="4" t="inlineStr">
        <is>
          <t>2025-08-18</t>
        </is>
      </c>
      <c r="E5" s="4" t="inlineStr">
        <is>
          <t>Wazuh SIEM</t>
        </is>
      </c>
      <c r="F5" s="4" t="inlineStr">
        <is>
          <t>b12e9f37a004cd82e11a7d...</t>
        </is>
      </c>
    </row>
    <row r="6">
      <c r="A6" s="9" t="inlineStr">
        <is>
          <t>Disk Image</t>
        </is>
      </c>
      <c r="B6" s="9" t="inlineStr">
        <is>
          <t>Full disk image of Metasploitable2 VM</t>
        </is>
      </c>
      <c r="C6" s="9" t="inlineStr">
        <is>
          <t>SOC Analyst</t>
        </is>
      </c>
      <c r="D6" s="9" t="inlineStr">
        <is>
          <t>2025-08-18</t>
        </is>
      </c>
      <c r="E6" s="9" t="inlineStr">
        <is>
          <t>dd / FTK</t>
        </is>
      </c>
      <c r="F6" s="9" t="inlineStr">
        <is>
          <t>f74c1a88d29e0b63f9cc3e...</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12" customWidth="1" min="2" max="2"/>
    <col width="16" customWidth="1" min="3" max="3"/>
  </cols>
  <sheetData>
    <row r="1" ht="36" customHeight="1">
      <c r="A1" s="1" t="inlineStr">
        <is>
          <t>📊  Alert Priority Distribution (Wazuh Dashboard Simulation)</t>
        </is>
      </c>
    </row>
    <row r="2" ht="30" customHeight="1">
      <c r="A2" s="2" t="inlineStr">
        <is>
          <t>Alert Priority</t>
        </is>
      </c>
      <c r="B2" s="2" t="inlineStr">
        <is>
          <t>Count</t>
        </is>
      </c>
      <c r="C2" s="2" t="inlineStr">
        <is>
          <t>% of Total</t>
        </is>
      </c>
    </row>
    <row r="3">
      <c r="A3" s="13" t="inlineStr">
        <is>
          <t>Critical</t>
        </is>
      </c>
      <c r="B3" s="7" t="n">
        <v>3</v>
      </c>
      <c r="C3" s="18">
        <f>B3/SUM(B3:B6)</f>
        <v/>
      </c>
    </row>
    <row r="4">
      <c r="A4" s="5" t="inlineStr">
        <is>
          <t>High</t>
        </is>
      </c>
      <c r="B4" s="7" t="n">
        <v>5</v>
      </c>
      <c r="C4" s="18">
        <f>B4/SUM(B3:B6)</f>
        <v/>
      </c>
    </row>
    <row r="5">
      <c r="A5" s="10" t="inlineStr">
        <is>
          <t>Medium</t>
        </is>
      </c>
      <c r="B5" s="7" t="n">
        <v>10</v>
      </c>
      <c r="C5" s="18">
        <f>B5/SUM(B3:B6)</f>
        <v/>
      </c>
    </row>
    <row r="6">
      <c r="A6" s="14" t="inlineStr">
        <is>
          <t>Low</t>
        </is>
      </c>
      <c r="B6" s="7" t="n">
        <v>8</v>
      </c>
      <c r="C6" s="18">
        <f>B6/SUM(B3:B6)</f>
        <v/>
      </c>
    </row>
    <row r="7" ht="30" customHeight="1">
      <c r="A7" s="16" t="inlineStr">
        <is>
          <t>TOTAL</t>
        </is>
      </c>
      <c r="B7" s="16">
        <f>SUM(B3:B6)</f>
        <v/>
      </c>
      <c r="C7" s="19">
        <f>SUM(C3:C6)</f>
        <v/>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6" customWidth="1" min="1" max="1"/>
    <col width="50" customWidth="1" min="2" max="2"/>
    <col width="14" customWidth="1" min="3" max="3"/>
  </cols>
  <sheetData>
    <row r="1" ht="36" customHeight="1">
      <c r="A1" s="1" t="inlineStr">
        <is>
          <t>✅  Phishing Incident Checklist &amp; Post-Mortem</t>
        </is>
      </c>
    </row>
    <row r="2" ht="30" customHeight="1">
      <c r="A2" s="2" t="inlineStr">
        <is>
          <t>#</t>
        </is>
      </c>
      <c r="B2" s="2" t="inlineStr">
        <is>
          <t>Checklist Item</t>
        </is>
      </c>
      <c r="C2" s="2" t="inlineStr">
        <is>
          <t>Status</t>
        </is>
      </c>
    </row>
    <row r="3">
      <c r="A3" s="7" t="n">
        <v>1</v>
      </c>
      <c r="B3" s="4" t="inlineStr">
        <is>
          <t>Confirm email headers</t>
        </is>
      </c>
      <c r="C3" s="20" t="inlineStr">
        <is>
          <t>✔ Done</t>
        </is>
      </c>
    </row>
    <row r="4">
      <c r="A4" s="12" t="n">
        <v>2</v>
      </c>
      <c r="B4" s="9" t="inlineStr">
        <is>
          <t>Check sender domain reputation</t>
        </is>
      </c>
      <c r="C4" s="20" t="inlineStr">
        <is>
          <t>✔ Done</t>
        </is>
      </c>
    </row>
    <row r="5">
      <c r="A5" s="7" t="n">
        <v>3</v>
      </c>
      <c r="B5" s="4" t="inlineStr">
        <is>
          <t>Scan link in VirusTotal</t>
        </is>
      </c>
      <c r="C5" s="20" t="inlineStr">
        <is>
          <t>✔ Done</t>
        </is>
      </c>
    </row>
    <row r="6">
      <c r="A6" s="12" t="n">
        <v>4</v>
      </c>
      <c r="B6" s="9" t="inlineStr">
        <is>
          <t>Identify all affected users</t>
        </is>
      </c>
      <c r="C6" s="20" t="inlineStr">
        <is>
          <t>✔ Done</t>
        </is>
      </c>
    </row>
    <row r="7">
      <c r="A7" s="7" t="n">
        <v>5</v>
      </c>
      <c r="B7" s="4" t="inlineStr">
        <is>
          <t>Block malicious domain at gateway</t>
        </is>
      </c>
      <c r="C7" s="20" t="inlineStr">
        <is>
          <t>✔ Done</t>
        </is>
      </c>
    </row>
    <row r="8">
      <c r="A8" s="12" t="n">
        <v>6</v>
      </c>
      <c r="B8" s="9" t="inlineStr">
        <is>
          <t>Reset potentially compromised credentials</t>
        </is>
      </c>
      <c r="C8" s="20" t="inlineStr">
        <is>
          <t>✔ Done</t>
        </is>
      </c>
    </row>
    <row r="9">
      <c r="A9" s="7" t="n">
        <v>7</v>
      </c>
      <c r="B9" s="4" t="inlineStr">
        <is>
          <t>Notify affected users</t>
        </is>
      </c>
      <c r="C9" s="20" t="inlineStr">
        <is>
          <t>✔ Done</t>
        </is>
      </c>
    </row>
    <row r="10">
      <c r="A10" s="12" t="n">
        <v>8</v>
      </c>
      <c r="B10" s="9" t="inlineStr">
        <is>
          <t>Update email filtering rules</t>
        </is>
      </c>
      <c r="C10" s="20" t="inlineStr">
        <is>
          <t>✔ Done</t>
        </is>
      </c>
    </row>
    <row r="11">
      <c r="A11" s="7" t="n">
        <v>9</v>
      </c>
      <c r="B11" s="4" t="inlineStr">
        <is>
          <t>Document IOCs in TheHive case</t>
        </is>
      </c>
      <c r="C11" s="20" t="inlineStr">
        <is>
          <t>✔ Done</t>
        </is>
      </c>
    </row>
    <row r="12">
      <c r="A12" s="12" t="n">
        <v>10</v>
      </c>
      <c r="B12" s="9" t="inlineStr">
        <is>
          <t>File incident report</t>
        </is>
      </c>
      <c r="C12" s="20" t="inlineStr">
        <is>
          <t>✔ Done</t>
        </is>
      </c>
    </row>
    <row r="14" ht="8" customHeight="1"/>
    <row r="15" ht="30" customHeight="1">
      <c r="A15" s="16" t="inlineStr">
        <is>
          <t>Post-Mortem Summary (50 words)</t>
        </is>
      </c>
      <c r="B15" s="16" t="inlineStr"/>
      <c r="C15" s="16" t="inlineStr"/>
    </row>
    <row r="16" ht="80" customHeight="1">
      <c r="A16" s="21" t="inlineStr">
        <is>
          <t>The simulated phishing breach revealed gaps in email filtering and user awareness. Faster detection rules and improved employee training are required to reduce phishing success rates. Implementing stronger email gateway protections and automated alerting will significantly improve detection speed and response efficiency going forward.</t>
        </is>
      </c>
    </row>
    <row r="17"/>
    <row r="18"/>
    <row r="19"/>
    <row r="20"/>
  </sheetData>
  <mergeCells count="2">
    <mergeCell ref="A1:C1"/>
    <mergeCell ref="A16:C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2026-03-04T08:49:46Z</dcterms:created>
  <dcterms:modified xmlns:dcterms="http://purl.org/dc/terms/" xmlns:xsi="http://www.w3.org/2001/XMLSchema-instance" xsi:type="dcterms:W3CDTF">2026-03-04T08:49:46Z</dcterms:modified>
</cp:coreProperties>
</file>